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</sheets>
  <definedNames>
    <definedName name="_xlnm._FilterDatabase" localSheetId="0" hidden="1">'BOM'!$A$2:$I$10</definedName>
  </definedNames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b val="1"/>
      <color rgb="00FFFFFF"/>
    </font>
    <font>
      <b val="1"/>
      <color rgb="00FFFFFF"/>
      <sz val="16"/>
    </font>
    <font>
      <b val="1"/>
    </font>
    <font>
      <b val="1"/>
      <color rgb="00FFFFFF"/>
      <sz val="14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5">
    <border/>
    <border/>
    <border>
      <bottom style="thin">
        <color rgb="00D9D9D9"/>
      </bottom>
    </border>
    <border>
      <top style="thin">
        <color rgb="00D9D9D9"/>
      </top>
      <bottom style="thin">
        <color rgb="00D9D9D9"/>
      </bottom>
    </border>
    <border>
      <left/>
      <right/>
      <top/>
      <bottom/>
      <diagonal/>
    </border>
  </borders>
  <cellStyleXfs count="2">
    <xf numFmtId="0" fontId="0" fillId="0" borderId="1"/>
    <xf numFmtId="0" fontId="7" fillId="0" borderId="4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2" fillId="0" borderId="0" pivotButton="0" quotePrefix="0" xfId="0"/>
    <xf numFmtId="0" fontId="2" fillId="0" borderId="1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wrapText="1"/>
    </xf>
    <xf numFmtId="164" fontId="2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6" fillId="4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5" fillId="6" borderId="0" pivotButton="0" quotePrefix="0" xfId="0"/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5" fillId="5" borderId="3" applyAlignment="1" pivotButton="0" quotePrefix="0" xfId="0">
      <alignment vertical="center" wrapText="1"/>
    </xf>
    <xf numFmtId="164" fontId="5" fillId="5" borderId="3" applyAlignment="1" pivotButton="0" quotePrefix="0" xfId="0">
      <alignment vertical="center" wrapText="1"/>
    </xf>
    <xf numFmtId="0" fontId="5" fillId="0" borderId="0" pivotButton="0" quotePrefix="0" xfId="0"/>
    <xf numFmtId="0" fontId="7" fillId="0" borderId="4" pivotButton="0" quotePrefix="0" xfId="1"/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obu.in/product/weact-studio-esp32-s3-devkitc-1-development-board/" TargetMode="External" Id="rId1"/><Relationship Type="http://schemas.openxmlformats.org/officeDocument/2006/relationships/hyperlink" Target="https://robu.in/product/waveshare-240x320-general-2-4inch-lcd-display-module/" TargetMode="External" Id="rId2"/><Relationship Type="http://schemas.openxmlformats.org/officeDocument/2006/relationships/hyperlink" Target="https://www.sunrom.com/p/rotary-encoder-ec11-flat-d-shaft-20mm" TargetMode="External" Id="rId3"/><Relationship Type="http://schemas.openxmlformats.org/officeDocument/2006/relationships/hyperlink" Target="https://www.digikey.in/en/products/detail/cui-devices/CST-931AP/1216850" TargetMode="External" Id="rId4"/><Relationship Type="http://schemas.openxmlformats.org/officeDocument/2006/relationships/hyperlink" Target="https://www.ktron.in/product/2n3904-transistor-npn-to-92/" TargetMode="External" Id="rId5"/><Relationship Type="http://schemas.openxmlformats.org/officeDocument/2006/relationships/hyperlink" Target="https://www.lcsc.com/product-detail/Chip-Resistor-Surface-Mount-UNI-ROYAL-UniOhm-1206W4F1002T5E.html" TargetMode="External" Id="rId6"/><Relationship Type="http://schemas.openxmlformats.org/officeDocument/2006/relationships/hyperlink" Target="https://www.digikey.in/en/products/detail/jst-sales-america-inc/B8B-PH-K-S/926617" TargetMode="External" Id="rId7"/><Relationship Type="http://schemas.openxmlformats.org/officeDocument/2006/relationships/hyperlink" Target="https://cart.jlcpcb.com/quote" TargetMode="External" Id="rId8"/><Relationship Type="http://schemas.openxmlformats.org/officeDocument/2006/relationships/hyperlink" Target="https://onlyscrews.in/products/m2-x-6mm-female-to-female-brass-with-nickel-plating-hex-threaded-standoff-spacer" TargetMode="External" Id="rId9"/><Relationship Type="http://schemas.openxmlformats.org/officeDocument/2006/relationships/hyperlink" Target="https://onlyscrews.in/products/m2-x-4mm-phillips-round-head-laptop-screw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8" customWidth="1" min="3" max="3"/>
    <col width="50" customWidth="1" min="4" max="4"/>
    <col width="18" customWidth="1" min="5" max="5"/>
    <col width="65" customWidth="1" min="6" max="6"/>
    <col width="16" customWidth="1" min="7" max="7"/>
    <col width="52" customWidth="1" min="8" max="8"/>
    <col width="17" customWidth="1" min="9" max="9"/>
    <col width="20" customWidth="1" min="11" max="11"/>
    <col width="22" customWidth="1" min="12" max="12"/>
  </cols>
  <sheetData>
    <row r="1" ht="28" customHeight="1">
      <c r="A1" s="21" t="inlineStr">
        <is>
          <t>NINE-O — BUILD BOM / BUDGET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K1" s="22" t="inlineStr">
        <is>
          <t>Budget summary</t>
        </is>
      </c>
      <c r="L1" s="1" t="n"/>
    </row>
    <row r="2" ht="44" customHeight="1">
      <c r="A2" s="23" t="inlineStr">
        <is>
          <t>No.</t>
        </is>
      </c>
      <c r="B2" s="23" t="inlineStr">
        <is>
          <t>Item</t>
        </is>
      </c>
      <c r="C2" s="23" t="inlineStr">
        <is>
          <t>Qty</t>
        </is>
      </c>
      <c r="D2" s="23" t="inlineStr">
        <is>
          <t>Specification</t>
        </is>
      </c>
      <c r="E2" s="23" t="inlineStr">
        <is>
          <t>Supplier</t>
        </is>
      </c>
      <c r="F2" s="23" t="inlineStr">
        <is>
          <t>Product link</t>
        </is>
      </c>
      <c r="G2" s="23" t="inlineStr">
        <is>
          <t>Unit price (₹)</t>
        </is>
      </c>
      <c r="H2" s="23" t="inlineStr">
        <is>
          <t>Notes</t>
        </is>
      </c>
      <c r="I2" s="23" t="inlineStr">
        <is>
          <t>Line total (₹)</t>
        </is>
      </c>
      <c r="K2" s="24" t="inlineStr">
        <is>
          <t>Total budget</t>
        </is>
      </c>
      <c r="L2" s="19">
        <f>I13</f>
        <v/>
      </c>
    </row>
    <row r="3" ht="44" customHeight="1">
      <c r="A3" s="25" t="n">
        <v>1</v>
      </c>
      <c r="B3" s="25" t="inlineStr">
        <is>
          <t>ESP32-S3-DevKitC-1</t>
        </is>
      </c>
      <c r="C3" s="25" t="n">
        <v>1</v>
      </c>
      <c r="D3" s="25" t="inlineStr">
        <is>
          <t>ESP32-S3-DevKitC-1 development board</t>
        </is>
      </c>
      <c r="E3" s="25" t="inlineStr">
        <is>
          <t>Robu India</t>
        </is>
      </c>
      <c r="F3" s="30" t="inlineStr">
        <is>
          <t>https://robu.in/product/weact-studio-esp32-s3-devkitc-1-development-board/</t>
        </is>
      </c>
      <c r="G3" s="26" t="n">
        <v>1099</v>
      </c>
      <c r="H3" s="25" t="inlineStr">
        <is>
          <t>Main controller; USB-C provides power/programming.</t>
        </is>
      </c>
      <c r="I3" s="26">
        <f>C3*G3</f>
        <v/>
      </c>
      <c r="K3" s="24" t="inlineStr">
        <is>
          <t>BOM items</t>
        </is>
      </c>
      <c r="L3" s="11">
        <f>COUNTA(B3:B12)</f>
        <v/>
      </c>
    </row>
    <row r="4" ht="44" customHeight="1">
      <c r="A4" s="25" t="n">
        <v>2</v>
      </c>
      <c r="B4" s="25" t="inlineStr">
        <is>
          <t>Waveshare 2.4inch LCD Module</t>
        </is>
      </c>
      <c r="C4" s="25" t="n">
        <v>1</v>
      </c>
      <c r="D4" s="25" t="inlineStr">
        <is>
          <t>2.4-inch 240×320 ILI9341 SPI TFT, SKU 18366</t>
        </is>
      </c>
      <c r="E4" s="25" t="inlineStr">
        <is>
          <t>Robu India</t>
        </is>
      </c>
      <c r="F4" s="30" t="inlineStr">
        <is>
          <t>https://robu.in/product/waveshare-240x320-general-2-4inch-lcd-display-module/</t>
        </is>
      </c>
      <c r="G4" s="26" t="n">
        <v>1109</v>
      </c>
      <c r="H4" s="25" t="inlineStr">
        <is>
          <t>External display; PH2.0 8-pin cable included.</t>
        </is>
      </c>
      <c r="I4" s="26">
        <f>C4*G4</f>
        <v/>
      </c>
      <c r="K4" s="24" t="inlineStr">
        <is>
          <t>PCB order</t>
        </is>
      </c>
      <c r="L4" s="11" t="inlineStr">
        <is>
          <t>5 boards</t>
        </is>
      </c>
    </row>
    <row r="5" ht="44" customHeight="1">
      <c r="A5" s="25" t="n">
        <v>3</v>
      </c>
      <c r="B5" s="25" t="inlineStr">
        <is>
          <t>Rotary Encoder EC11</t>
        </is>
      </c>
      <c r="C5" s="25" t="n">
        <v>2</v>
      </c>
      <c r="D5" s="25" t="inlineStr">
        <is>
          <t>EC11 rotary encoder with push switch</t>
        </is>
      </c>
      <c r="E5" s="25" t="inlineStr">
        <is>
          <t>Sunrom</t>
        </is>
      </c>
      <c r="F5" s="30" t="inlineStr">
        <is>
          <t>https://www.sunrom.com/p/rotary-encoder-ec11-flat-d-shaft-20mm</t>
        </is>
      </c>
      <c r="G5" s="26" t="n">
        <v>56.35</v>
      </c>
      <c r="H5" s="25" t="inlineStr">
        <is>
          <t>Two required; one for navigation and one for adjustment.</t>
        </is>
      </c>
      <c r="I5" s="26">
        <f>C5*G5</f>
        <v/>
      </c>
      <c r="K5" s="24" t="inlineStr">
        <is>
          <t>Mounting hardware</t>
        </is>
      </c>
      <c r="L5" s="19">
        <f>I11+I12</f>
        <v/>
      </c>
    </row>
    <row r="6" ht="44" customHeight="1">
      <c r="A6" s="25" t="n">
        <v>4</v>
      </c>
      <c r="B6" s="25" t="inlineStr">
        <is>
          <t>CUI CST-931AP buzzer</t>
        </is>
      </c>
      <c r="C6" s="25" t="n">
        <v>1</v>
      </c>
      <c r="D6" s="25" t="inlineStr">
        <is>
          <t>CST-931AP through-hole buzzer</t>
        </is>
      </c>
      <c r="E6" s="25" t="inlineStr">
        <is>
          <t>DigiKey India</t>
        </is>
      </c>
      <c r="F6" s="30" t="inlineStr">
        <is>
          <t>https://www.digikey.in/en/products/detail/cui-devices/CST-931AP/1216850</t>
        </is>
      </c>
      <c r="G6" s="26" t="n">
        <v>152.88</v>
      </c>
      <c r="H6" s="25" t="inlineStr">
        <is>
          <t>Notification/timer buzzer.</t>
        </is>
      </c>
      <c r="I6" s="26">
        <f>C6*G6</f>
        <v/>
      </c>
    </row>
    <row r="7" ht="44" customHeight="1">
      <c r="A7" s="25" t="n">
        <v>5</v>
      </c>
      <c r="B7" s="25" t="inlineStr">
        <is>
          <t>2N3904 transistor</t>
        </is>
      </c>
      <c r="C7" s="25" t="n">
        <v>1</v>
      </c>
      <c r="D7" s="25" t="inlineStr">
        <is>
          <t>2N3904 NPN transistor, TO-92</t>
        </is>
      </c>
      <c r="E7" s="25" t="inlineStr">
        <is>
          <t>KTRON India</t>
        </is>
      </c>
      <c r="F7" s="30" t="inlineStr">
        <is>
          <t>https://www.ktron.in/product/2n3904-transistor-npn-to-92/</t>
        </is>
      </c>
      <c r="G7" s="26" t="n">
        <v>2.33</v>
      </c>
      <c r="H7" s="25" t="inlineStr">
        <is>
          <t>TO-92 package; used to switch the buzzer.</t>
        </is>
      </c>
      <c r="I7" s="26">
        <f>C7*G7</f>
        <v/>
      </c>
    </row>
    <row r="8" ht="44" customHeight="1">
      <c r="A8" s="25" t="n">
        <v>6</v>
      </c>
      <c r="B8" s="25" t="inlineStr">
        <is>
          <t>10kΩ resistor</t>
        </is>
      </c>
      <c r="C8" s="25" t="n">
        <v>1</v>
      </c>
      <c r="D8" s="25" t="inlineStr">
        <is>
          <t>1206 SMD resistor, 10kΩ ±1%</t>
        </is>
      </c>
      <c r="E8" s="25" t="inlineStr">
        <is>
          <t>LCSC</t>
        </is>
      </c>
      <c r="F8" s="30" t="inlineStr">
        <is>
          <t>https://www.lcsc.com/product-detail/Chip-Resistor-Surface-Mount-UNI-ROYAL-UniOhm-1206W4F1002T5E.html</t>
        </is>
      </c>
      <c r="G8" s="26" t="n">
        <v>0.75</v>
      </c>
      <c r="H8" s="25" t="inlineStr">
        <is>
          <t>Base resistor for Q1.</t>
        </is>
      </c>
      <c r="I8" s="26">
        <f>C8*G8</f>
        <v/>
      </c>
    </row>
    <row r="9" ht="44" customHeight="1">
      <c r="A9" s="25" t="n">
        <v>7</v>
      </c>
      <c r="B9" s="25" t="inlineStr">
        <is>
          <t>LCD PCB connector</t>
        </is>
      </c>
      <c r="C9" s="25" t="n">
        <v>1</v>
      </c>
      <c r="D9" s="25" t="inlineStr">
        <is>
          <t>JST B8B-PH-K-S, 8-position, 2.00 mm pitch, vertical through-hole</t>
        </is>
      </c>
      <c r="E9" s="25" t="inlineStr">
        <is>
          <t>DigiKey India</t>
        </is>
      </c>
      <c r="F9" s="30" t="inlineStr">
        <is>
          <t>https://www.digikey.in/en/products/detail/jst-sales-america-inc/B8B-PH-K-S/926617</t>
        </is>
      </c>
      <c r="G9" s="26" t="n">
        <v>33.44</v>
      </c>
      <c r="H9" s="25" t="inlineStr">
        <is>
          <t>U5; mates with the LCD PH2.0 8-pin cable.</t>
        </is>
      </c>
      <c r="I9" s="26">
        <f>C9*G9</f>
        <v/>
      </c>
    </row>
    <row r="10" ht="44" customHeight="1">
      <c r="A10" s="25" t="n">
        <v>8</v>
      </c>
      <c r="B10" s="25" t="inlineStr">
        <is>
          <t>Custom PCB</t>
        </is>
      </c>
      <c r="C10" s="25" t="n">
        <v>1</v>
      </c>
      <c r="D10" s="25" t="inlineStr">
        <is>
          <t>105 × 75 mm, 2-layer FR-4, 1.6 mm; 5-board prototype order</t>
        </is>
      </c>
      <c r="E10" s="25" t="inlineStr">
        <is>
          <t>JLCPCB</t>
        </is>
      </c>
      <c r="F10" s="30" t="inlineStr">
        <is>
          <t>https://cart.jlcpcb.com/quote</t>
        </is>
      </c>
      <c r="G10" s="26" t="n">
        <v>2988</v>
      </c>
      <c r="H10" s="25" t="inlineStr">
        <is>
          <t>5-board prototype order; PCB + engineering + shipping estimate.</t>
        </is>
      </c>
      <c r="I10" s="26">
        <f>C10*G10</f>
        <v/>
      </c>
    </row>
    <row r="11">
      <c r="A11" s="25" t="n">
        <v>9</v>
      </c>
      <c r="B11" s="25" t="inlineStr">
        <is>
          <t>M2 × 6mm female-to-female brass standoff</t>
        </is>
      </c>
      <c r="C11" s="25" t="n">
        <v>4</v>
      </c>
      <c r="D11" s="25" t="inlineStr">
        <is>
          <t>M2 × 6 mm, female-to-female hex threaded standoff, brass with nickel plating</t>
        </is>
      </c>
      <c r="E11" s="25" t="inlineStr">
        <is>
          <t>OnlyScrews</t>
        </is>
      </c>
      <c r="F11" s="30" t="inlineStr">
        <is>
          <t>https://onlyscrews.in/products/m2-x-6mm-female-to-female-brass-with-nickel-plating-hex-threaded-standoff-spacer</t>
        </is>
      </c>
      <c r="G11" s="26" t="n">
        <v>4</v>
      </c>
      <c r="H11" s="25" t="inlineStr">
        <is>
          <t>Four required to raise the LCD above the PCB.</t>
        </is>
      </c>
      <c r="I11" s="26">
        <f>C11*G11</f>
        <v/>
      </c>
    </row>
    <row r="12">
      <c r="A12" s="25" t="n">
        <v>10</v>
      </c>
      <c r="B12" s="25" t="inlineStr">
        <is>
          <t>M2 × 4mm Phillips round-head screw</t>
        </is>
      </c>
      <c r="C12" s="25" t="n">
        <v>8</v>
      </c>
      <c r="D12" s="25" t="inlineStr">
        <is>
          <t>M2 × 4 mm Phillips round-head screw, 0.4 mm pitch</t>
        </is>
      </c>
      <c r="E12" s="25" t="inlineStr">
        <is>
          <t>OnlyScrews</t>
        </is>
      </c>
      <c r="F12" s="30" t="inlineStr">
        <is>
          <t>https://onlyscrews.in/products/m2-x-4mm-phillips-round-head-laptop-screw</t>
        </is>
      </c>
      <c r="G12" s="26" t="n">
        <v>3.8</v>
      </c>
      <c r="H12" s="25" t="inlineStr">
        <is>
          <t>Eight required; four standoffs, two screws per standoff.</t>
        </is>
      </c>
      <c r="I12" s="26">
        <f>C12*G12</f>
        <v/>
      </c>
    </row>
    <row r="13" ht="42" customHeight="1">
      <c r="A13" s="27" t="n"/>
      <c r="B13" s="27" t="n"/>
      <c r="C13" s="27" t="n"/>
      <c r="D13" s="27" t="n"/>
      <c r="E13" s="27" t="n"/>
      <c r="F13" s="27" t="n"/>
      <c r="G13" s="27" t="n"/>
      <c r="H13" s="27" t="inlineStr">
        <is>
          <t>TOTAL</t>
        </is>
      </c>
      <c r="I13" s="28">
        <f>SUM(I3:I12)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29" t="inlineStr">
        <is>
          <t>Budget note</t>
        </is>
      </c>
    </row>
    <row r="16">
      <c r="A16" s="13" t="inlineStr">
        <is>
          <t>Prices are build-budget figures for the planned NINE-O prototype. Mounting hardware is now included: 4 × M2×6 mm standoffs and 8 × M2×4 mm screws.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</sheetData>
  <autoFilter ref="A2:I10"/>
  <mergeCells count="3">
    <mergeCell ref="A1:I1"/>
    <mergeCell ref="A14:I14"/>
    <mergeCell ref="K1:L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2026-09-05T07:04:11Z</dcterms:created>
  <dcterms:modified xmlns:dcterms="http://purl.org/dc/terms/" xmlns:xsi="http://www.w3.org/2001/XMLSchema-instance" xsi:type="dcterms:W3CDTF">2026-09-05T08:23:00Z</dcterms:modified>
</cp:coreProperties>
</file>